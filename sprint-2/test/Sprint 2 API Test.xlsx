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API" sheetId="1" r:id="rId5"/>
    <sheet state="visible" name="API Test PID-002-001" sheetId="2" r:id="rId6"/>
  </sheets>
  <definedNames/>
  <calcPr/>
</workbook>
</file>

<file path=xl/sharedStrings.xml><?xml version="1.0" encoding="utf-8"?>
<sst xmlns="http://schemas.openxmlformats.org/spreadsheetml/2006/main" count="124" uniqueCount="88">
  <si>
    <t>Scenario ID</t>
  </si>
  <si>
    <t>Scenario Name</t>
  </si>
  <si>
    <t>Test Case#</t>
  </si>
  <si>
    <t>Pass</t>
  </si>
  <si>
    <t>Fail</t>
  </si>
  <si>
    <t>No run</t>
  </si>
  <si>
    <t>Block</t>
  </si>
  <si>
    <t>Remark</t>
  </si>
  <si>
    <t>Defect ID</t>
  </si>
  <si>
    <t>PID-002-001</t>
  </si>
  <si>
    <t>API Test: ผู้แจ้งเหตุได้รับรายงานเหตุการณ์ที่แจ้งสำเร็จ กรณีได้รับข้อความปฏิเสธ ไม่ใส่เหตุผล</t>
  </si>
  <si>
    <t>รวม</t>
  </si>
  <si>
    <t>Test Design and Test Results</t>
  </si>
  <si>
    <t xml:space="preserve">Project Name : </t>
  </si>
  <si>
    <t>API Test: แอดมินอัพเดตสถานะรายงานเหตุการณ์</t>
  </si>
  <si>
    <t xml:space="preserve">Project ID : </t>
  </si>
  <si>
    <t xml:space="preserve">Story ID : </t>
  </si>
  <si>
    <t>US-S2-006</t>
  </si>
  <si>
    <t xml:space="preserve">Last update :   </t>
  </si>
  <si>
    <t xml:space="preserve">Test Strategy : </t>
  </si>
  <si>
    <t>Automated API Testing (Unit + Integration Level) — ทดสอบ Report API endpoints ฝั่ง backend โดยใช้ Jest + Supertest ส่ง HTTP request ไปยัง Express app โดยตรง ไม่ต้องเปิด server จริง การทดสอบใช้ mock data เพื่อตรวจสอบว่า API ตอบ status code, response body, และ access control ถูกต้อง</t>
  </si>
  <si>
    <t xml:space="preserve">Designer : </t>
  </si>
  <si>
    <t>นายเอกวิชญ์ พิลาวรรณ</t>
  </si>
  <si>
    <t xml:space="preserve">Test Environtment : </t>
  </si>
  <si>
    <t>Runtime: Node.js v22.x
Framework: Express.js v4.21
Testing Tools: Jest v30.x (Test Runner &amp; Assertion), Supertest v7.x (HTTP Request)
Mocking Strategy: Mock JWT (bypass authentication), Mock Prisma Client (ไม่เชื่อมต่อ database จริง), Mock Cloudinary (ไม่อัปโหลดไฟล์จริง)
OS: Linux Mint
Test Command: npm test</t>
  </si>
  <si>
    <t>Test methodology and test process:</t>
  </si>
  <si>
    <t>(1)        แยก Express app ออกจาก server startup (app.js / server.js) เพื่อให้ Supertest import app ได้โดยไม่ต้อง listen port
(2)        Mock dependencies — JWT verifyToken ถูก mock ให้คืน fake user object (DRIVER / PASSENGER / ADMIN), Prisma client ถูก mock ไม่ให้เชื่อมต่อ database จริง, Cloudinary upload ถูก mock ให้คืน fake URL
(3)        เปลี่ยน role ของ user ในแต่ละ test case ผ่านตัวแปร mockCurrentUser เพื่อทดสอบ role-based access control (DRIVER, PASSENGER, ADMIN)
(4)        ส่ง HTTP request ผ่าน Supertest ไปยัง Express app พร้อม Authorization header และ body ตาม test case
(5)        ตรวจสอบ response — เปรียบเทียบ status code และ response body กับ expected result ด้วย Jest assertion (expect)
(6)        Reset mocks ก่อนทุก test case ด้วย beforeEach() เพื่อป้องกัน test case กระทบกัน</t>
  </si>
  <si>
    <t>User Story</t>
  </si>
  <si>
    <t>Test ID</t>
  </si>
  <si>
    <t>API</t>
  </si>
  <si>
    <t>Steps &amp; Inputs</t>
  </si>
  <si>
    <t>Expected Result</t>
  </si>
  <si>
    <t>Actual Result</t>
  </si>
  <si>
    <t xml:space="preserve">Status (Pass/Fail/No run)
</t>
  </si>
  <si>
    <t xml:space="preserve">As an admin, I want to keep the users updated on their reported incidents.
</t>
  </si>
  <si>
    <t>TC-001</t>
  </si>
  <si>
    <t>PATCH /api/reports/:id/resolve</t>
  </si>
  <si>
    <t>1. Login เป็น ADMIN
2. ส่ง Authorization: Bearer &lt;token&gt;
3. Report มีสถานะ PENDING</t>
  </si>
  <si>
    <t>Status 200,
success: true,
report ถูก resolve
+ ส่ง notification</t>
  </si>
  <si>
    <t>Status 200, {
 success: true,
 message: "Report resolved successfully",
 data: {
 id: "report-001",
 status: "RESOLVED",
 reasons: [...],
 media: []
 }
}</t>
  </si>
  <si>
    <t>TC-002</t>
  </si>
  <si>
    <t>1. Login เป็น PASSENGER
(ไม่ใช่ admin)
2. ส่ง Authorization: Bearer &lt;token&gt;</t>
  </si>
  <si>
    <t>Status 403,
Forbidden —
เฉพาะ ADMIN</t>
  </si>
  <si>
    <t>Status 403, {
 success: false,
 message: "Admin access required"
}</t>
  </si>
  <si>
    <t>TC-003</t>
  </si>
  <si>
    <t>1. Login เป็น ADMIN
2. Report ID ไม่มีอยู่</t>
  </si>
  <si>
    <t>Status 404,
Report not found</t>
  </si>
  <si>
    <t>Status 404, {
 success: false,
 message: "Report not found"
}</t>
  </si>
  <si>
    <t>TC-004</t>
  </si>
  <si>
    <t>1. Login เป็น ADMIN
2. Report มีสถานะ RESOLVED อยู่แล้ว</t>
  </si>
  <si>
    <t>Status 400,
Report ได้รับการดำเนินการแล้ว</t>
  </si>
  <si>
    <t>Status 400, {
 success: false,
 message: "Report นี้ได้รับการดำเนินการแล้ว"
}</t>
  </si>
  <si>
    <t>ระบบแสดง "รหัสวิชา: CP353004 ชื่อรายวิชา: SOFTWARE ENGINEERING</t>
  </si>
  <si>
    <t>TC-005</t>
  </si>
  <si>
    <t>PATCH /api/reports/:id/reject</t>
  </si>
  <si>
    <t>1. Login เป็น ADMIN
2. ส่ง Authorization: Bearer &lt;token&gt;
3. Report มีสถานะ PENDING
(ไม่ส่ง rejectionReason)</t>
  </si>
  <si>
    <t>Status 200,
success: true,
report ถูก reject
+ ส่ง notification</t>
  </si>
  <si>
    <t>Status 200, {
 success: true,
 message: "Report rejected successfully",
 data: {
 id: "report-001",
 status: "REJECTED",
 rejectionReason: null,
 reasons: [...],
 media: []
 }
}</t>
  </si>
  <si>
    <t>ปีการศึกษา 2568 / 2"</t>
  </si>
  <si>
    <t>TC-006</t>
  </si>
  <si>
    <t>1. Login เป็น ADMIN
2. ส่ง Authorization: Bearer &lt;token&gt;
3. Body: {
 rejectionReason:
 "หลักฐานไม่เพียงพอ"
}</t>
  </si>
  <si>
    <t>Status 200,
success: true,
report ถูก reject
พร้อมเหตุผล
+ ส่ง notification</t>
  </si>
  <si>
    <t>Status 200, {
 success: true,
 message: "Report rejected successfully",
 data: {
 id: "report-001",
 status: "REJECTED",
 rejectionReason: "หลักฐานไม่เพียงพอ",
 reasons: [...],
 media: []
 }
}</t>
  </si>
  <si>
    <t>3.แสดง "ไม่พบรายวิชา</t>
  </si>
  <si>
    <t>TC-007</t>
  </si>
  <si>
    <t>1. Login เป็น ADMIN
2. Report มีสถานะ RESOLVED
อยู่แล้ว</t>
  </si>
  <si>
    <t>Status 400,
Report ได้รับการดำเนินการแล้ว
ไม่สามารถปฏิเสธได้</t>
  </si>
  <si>
    <t>Status 400, {
 success: false,
 message: "Report นี้ได้รับการดำเนินการแล้ว
 ไม่สามารถปฏิเสธได้"
}</t>
  </si>
  <si>
    <t>ที่ตรงกับเงื่อนไขการค้นหา!"</t>
  </si>
  <si>
    <t>TC-008</t>
  </si>
  <si>
    <t>TC-009</t>
  </si>
  <si>
    <t>GET /api/reports/admin</t>
  </si>
  <si>
    <t>1. Login เป็น ADMIN
2. ส่ง Authorization: Bearer &lt;token&gt;</t>
  </si>
  <si>
    <t>Status 200,
success: true,
data เป็น array,
มี pagination</t>
  </si>
  <si>
    <t>Status 200, {
 success: true,
 message: "Reports retrieved successfully",
 data: [{
 id, type, status,
 reporter: {...},
 reportedUser: {...},
 booking: {...},
 reasons: [...],
 media: [...]
 }],
 pagination: {
 page: 1,
 limit: 20,
 total: 1,
 totalPages: 1
 }
}</t>
  </si>
  <si>
    <t>TC-010</t>
  </si>
  <si>
    <t>1. Login เป็น ADMIN
2. ส่ง query: ?status=PENDING</t>
  </si>
  <si>
    <t>Status 200,
success: true,
filter ทำงาน</t>
  </si>
  <si>
    <t>Status 200, {
 success: true,
 message: "Reports retrieved successfully",
 data: [...],
 pagination: {
 page: 1,
 limit: 20,
 total: 1,
 totalPages: 1
 }
}</t>
  </si>
  <si>
    <t>TC-011</t>
  </si>
  <si>
    <t>TC-012</t>
  </si>
  <si>
    <t>GET /api/reports/admin/:id</t>
  </si>
  <si>
    <t>1. Login เป็น ADMIN
2. ส่ง Authorization: Bearer &lt;token&gt;
3. ระบุ report ID ที่มีอยู่</t>
  </si>
  <si>
    <t>Status 200,
success: true,
data มี reporter,
reportedUser,
booking, route,
driver, vehicle</t>
  </si>
  <si>
    <t>Status 200, {
 success: true,
 message: "Report retrieved successfully",
 data: {
 id, type, status,
 reporter: {
 id, username,
 firstName, lastName,
 email, role
 },
 reportedUser: {...},
 booking: {
 id, route: {
 startLocation,
 endLocation,
 driver: {...},
 vehicle: {...}
 }
 },
 reasons: [...],
 media: [...]
 }
}</t>
  </si>
  <si>
    <t>TC-013</t>
  </si>
  <si>
    <t>1. Login เป็น ADMIN
2. ระบุ report ID ที่ไม่มีอยู่</t>
  </si>
  <si>
    <t>TC-014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</si>
</sst>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b/>
      <sz val="18.0"/>
      <color theme="1"/>
      <name val="Sarabun"/>
    </font>
    <font>
      <sz val="11.0"/>
      <color theme="1"/>
      <name val="Calibri"/>
    </font>
    <font>
      <sz val="18.0"/>
      <color theme="1"/>
      <name val="Arial"/>
    </font>
    <font>
      <sz val="18.0"/>
      <color theme="1"/>
      <name val="Sarabun"/>
    </font>
    <font/>
    <font>
      <sz val="18.0"/>
      <color theme="1"/>
      <name val="Serif"/>
    </font>
    <font>
      <b/>
      <sz val="18.0"/>
      <color rgb="FF000000"/>
      <name val="Sarabun"/>
    </font>
    <font>
      <b/>
      <sz val="18.0"/>
      <color rgb="FF000000"/>
      <name val="Serif"/>
    </font>
    <font>
      <sz val="18.0"/>
      <color rgb="FF000000"/>
      <name val="Serif"/>
    </font>
    <font>
      <sz val="18.0"/>
      <color rgb="FF000000"/>
      <name val="Sarabun"/>
    </font>
    <font>
      <sz val="18.0"/>
      <color rgb="FF1F2328"/>
      <name val="-apple-system"/>
    </font>
    <font>
      <sz val="18.0"/>
      <color rgb="FF1F2328"/>
      <name val="Serif"/>
    </font>
    <font>
      <sz val="48.0"/>
      <color theme="1"/>
      <name val="Sarabun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81838E"/>
      </right>
      <top style="thin">
        <color rgb="FF81838E"/>
      </top>
      <bottom style="thin">
        <color rgb="FF81838E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81838E"/>
      </right>
      <top style="thin">
        <color rgb="FF81838E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3" fontId="1" numFmtId="0" xfId="0" applyAlignment="1" applyBorder="1" applyFill="1" applyFont="1">
      <alignment horizontal="center" shrinkToFit="0" vertical="top" wrapText="1"/>
    </xf>
    <xf borderId="3" fillId="0" fontId="5" numFmtId="0" xfId="0" applyBorder="1" applyFont="1"/>
    <xf borderId="1" fillId="0" fontId="4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top"/>
    </xf>
    <xf borderId="2" fillId="4" fontId="1" numFmtId="0" xfId="0" applyAlignment="1" applyBorder="1" applyFill="1" applyFont="1">
      <alignment horizontal="center" readingOrder="0" shrinkToFit="0" vertical="top" wrapText="1"/>
    </xf>
    <xf borderId="4" fillId="0" fontId="5" numFmtId="0" xfId="0" applyBorder="1" applyFont="1"/>
    <xf borderId="0" fillId="0" fontId="4" numFmtId="0" xfId="0" applyAlignment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right" shrinkToFit="0" vertical="top" wrapText="1"/>
    </xf>
    <xf borderId="2" fillId="0" fontId="4" numFmtId="164" xfId="0" applyAlignment="1" applyBorder="1" applyFont="1" applyNumberForma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shrinkToFit="0" vertical="top" wrapText="1"/>
    </xf>
    <xf borderId="1" fillId="5" fontId="7" numFmtId="0" xfId="0" applyAlignment="1" applyBorder="1" applyFill="1" applyFont="1">
      <alignment horizontal="center" shrinkToFit="0" vertical="top" wrapText="1"/>
    </xf>
    <xf borderId="1" fillId="5" fontId="7" numFmtId="0" xfId="0" applyAlignment="1" applyBorder="1" applyFont="1">
      <alignment horizontal="center" readingOrder="0" shrinkToFit="0" vertical="top" wrapText="1"/>
    </xf>
    <xf borderId="1" fillId="5" fontId="8" numFmtId="0" xfId="0" applyAlignment="1" applyBorder="1" applyFont="1">
      <alignment horizontal="center" readingOrder="0" shrinkToFit="0" vertical="top" wrapText="1"/>
    </xf>
    <xf borderId="5" fillId="6" fontId="9" numFmtId="0" xfId="0" applyAlignment="1" applyBorder="1" applyFill="1" applyFont="1">
      <alignment readingOrder="0" shrinkToFit="0" vertical="top" wrapText="1"/>
    </xf>
    <xf borderId="1" fillId="6" fontId="10" numFmtId="0" xfId="0" applyAlignment="1" applyBorder="1" applyFont="1">
      <alignment horizontal="center" readingOrder="0" shrinkToFit="0" vertical="top" wrapText="1"/>
    </xf>
    <xf borderId="1" fillId="6" fontId="11" numFmtId="0" xfId="0" applyAlignment="1" applyBorder="1" applyFont="1">
      <alignment readingOrder="0" vertical="top"/>
    </xf>
    <xf borderId="1" fillId="6" fontId="12" numFmtId="0" xfId="0" applyAlignment="1" applyBorder="1" applyFont="1">
      <alignment readingOrder="0" vertical="top"/>
    </xf>
    <xf borderId="6" fillId="6" fontId="9" numFmtId="0" xfId="0" applyAlignment="1" applyBorder="1" applyFont="1">
      <alignment horizontal="center" readingOrder="0" shrinkToFit="0" vertical="top" wrapText="1"/>
    </xf>
    <xf borderId="7" fillId="0" fontId="13" numFmtId="0" xfId="0" applyAlignment="1" applyBorder="1" applyFont="1">
      <alignment readingOrder="0" shrinkToFit="0" vertical="top" wrapText="1"/>
    </xf>
    <xf borderId="7" fillId="7" fontId="4" numFmtId="0" xfId="0" applyAlignment="1" applyBorder="1" applyFill="1" applyFont="1">
      <alignment horizontal="left" shrinkToFit="0" vertical="top" wrapText="1"/>
    </xf>
    <xf borderId="7" fillId="7" fontId="4" numFmtId="0" xfId="0" applyAlignment="1" applyBorder="1" applyFont="1">
      <alignment shrinkToFit="0" vertical="top" wrapText="1"/>
    </xf>
    <xf borderId="8" fillId="0" fontId="5" numFmtId="0" xfId="0" applyBorder="1" applyFont="1"/>
    <xf borderId="0" fillId="0" fontId="4" numFmtId="0" xfId="0" applyAlignment="1" applyFont="1">
      <alignment readingOrder="0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6" fontId="10" numFmtId="0" xfId="0" applyAlignment="1" applyBorder="1" applyFont="1">
      <alignment horizontal="center" shrinkToFit="0" vertical="top" wrapText="1"/>
    </xf>
    <xf borderId="9" fillId="6" fontId="9" numFmtId="0" xfId="0" applyAlignment="1" applyBorder="1" applyFont="1">
      <alignment horizontal="center" readingOrder="0" shrinkToFit="0" vertical="top" wrapText="1"/>
    </xf>
    <xf borderId="10" fillId="0" fontId="5" numFmtId="0" xfId="0" applyBorder="1" applyFont="1"/>
    <xf borderId="1" fillId="6" fontId="9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vertical="top"/>
    </xf>
    <xf borderId="0" fillId="6" fontId="9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58.29"/>
    <col customWidth="1" min="3" max="9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 t="s">
        <v>9</v>
      </c>
      <c r="B2" s="4" t="s">
        <v>10</v>
      </c>
      <c r="C2" s="5">
        <v>14.0</v>
      </c>
      <c r="D2" s="5">
        <v>14.0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11</v>
      </c>
      <c r="B3" s="9"/>
      <c r="C3" s="10">
        <f t="shared" ref="C3:I3" si="1">SUM(C2)</f>
        <v>14</v>
      </c>
      <c r="D3" s="10">
        <f t="shared" si="1"/>
        <v>14</v>
      </c>
      <c r="E3" s="10">
        <f t="shared" si="1"/>
        <v>0</v>
      </c>
      <c r="F3" s="10">
        <f t="shared" si="1"/>
        <v>0</v>
      </c>
      <c r="G3" s="10">
        <f t="shared" si="1"/>
        <v>0</v>
      </c>
      <c r="H3" s="10">
        <f t="shared" si="1"/>
        <v>0</v>
      </c>
      <c r="I3" s="10">
        <f t="shared" si="1"/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1"/>
      <c r="C11" s="1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8.71"/>
    <col customWidth="1" min="3" max="3" width="68.71"/>
    <col customWidth="1" min="4" max="4" width="74.14"/>
    <col customWidth="1" min="5" max="5" width="54.14"/>
    <col customWidth="1" min="6" max="6" width="100.71"/>
    <col customWidth="1" min="7" max="7" width="51.29"/>
    <col customWidth="1" min="8" max="8" width="96.14"/>
    <col customWidth="1" min="9" max="9" width="57.57"/>
    <col customWidth="1" min="10" max="27" width="11.14"/>
  </cols>
  <sheetData>
    <row r="1" ht="27.0" customHeight="1">
      <c r="A1" s="12" t="s">
        <v>12</v>
      </c>
      <c r="B1" s="13"/>
      <c r="C1" s="13"/>
      <c r="D1" s="13"/>
      <c r="E1" s="13"/>
      <c r="F1" s="13"/>
      <c r="G1" s="9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27.0" customHeight="1">
      <c r="A2" s="15"/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7.0" customHeight="1">
      <c r="A3" s="16" t="s">
        <v>13</v>
      </c>
      <c r="B3" s="17" t="s">
        <v>14</v>
      </c>
      <c r="C3" s="9"/>
      <c r="D3" s="18" t="s">
        <v>15</v>
      </c>
      <c r="E3" s="17" t="s">
        <v>9</v>
      </c>
      <c r="F3" s="9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7.0" customHeight="1">
      <c r="A4" s="16" t="s">
        <v>16</v>
      </c>
      <c r="B4" s="17" t="s">
        <v>17</v>
      </c>
      <c r="C4" s="9"/>
      <c r="D4" s="18" t="s">
        <v>18</v>
      </c>
      <c r="E4" s="19">
        <v>46039.0</v>
      </c>
      <c r="F4" s="9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6.0" customHeight="1">
      <c r="A5" s="16" t="s">
        <v>19</v>
      </c>
      <c r="B5" s="17" t="s">
        <v>20</v>
      </c>
      <c r="C5" s="9"/>
      <c r="D5" s="18" t="s">
        <v>21</v>
      </c>
      <c r="E5" s="20" t="s">
        <v>22</v>
      </c>
      <c r="F5" s="9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60.5" customHeight="1">
      <c r="A6" s="21" t="s">
        <v>23</v>
      </c>
      <c r="B6" s="9"/>
      <c r="C6" s="22" t="s">
        <v>24</v>
      </c>
      <c r="D6" s="13"/>
      <c r="E6" s="13"/>
      <c r="F6" s="13"/>
      <c r="G6" s="9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78.5" customHeight="1">
      <c r="A7" s="23" t="s">
        <v>25</v>
      </c>
      <c r="B7" s="9"/>
      <c r="C7" s="24" t="s">
        <v>26</v>
      </c>
      <c r="D7" s="13"/>
      <c r="E7" s="13"/>
      <c r="F7" s="13"/>
      <c r="G7" s="9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65.25" customHeight="1">
      <c r="A8" s="25" t="s">
        <v>27</v>
      </c>
      <c r="B8" s="26" t="s">
        <v>28</v>
      </c>
      <c r="C8" s="26" t="s">
        <v>29</v>
      </c>
      <c r="D8" s="27" t="s">
        <v>30</v>
      </c>
      <c r="E8" s="25" t="s">
        <v>31</v>
      </c>
      <c r="F8" s="25" t="s">
        <v>32</v>
      </c>
      <c r="G8" s="26" t="s">
        <v>33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225.0" customHeight="1">
      <c r="A9" s="28" t="s">
        <v>34</v>
      </c>
      <c r="B9" s="29" t="s">
        <v>35</v>
      </c>
      <c r="C9" s="30" t="s">
        <v>36</v>
      </c>
      <c r="D9" s="30" t="s">
        <v>37</v>
      </c>
      <c r="E9" s="31" t="s">
        <v>38</v>
      </c>
      <c r="F9" s="30" t="s">
        <v>39</v>
      </c>
      <c r="G9" s="32" t="s">
        <v>3</v>
      </c>
      <c r="H9" s="33"/>
      <c r="I9" s="34"/>
      <c r="J9" s="35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15.5" customHeight="1">
      <c r="A10" s="36"/>
      <c r="B10" s="29" t="s">
        <v>40</v>
      </c>
      <c r="C10" s="30" t="s">
        <v>36</v>
      </c>
      <c r="D10" s="30" t="s">
        <v>41</v>
      </c>
      <c r="E10" s="31" t="s">
        <v>42</v>
      </c>
      <c r="F10" s="30" t="s">
        <v>43</v>
      </c>
      <c r="G10" s="32" t="s">
        <v>3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05.0" customHeight="1">
      <c r="A11" s="36"/>
      <c r="B11" s="29" t="s">
        <v>44</v>
      </c>
      <c r="C11" s="30" t="s">
        <v>36</v>
      </c>
      <c r="D11" s="30" t="s">
        <v>45</v>
      </c>
      <c r="E11" s="30" t="s">
        <v>46</v>
      </c>
      <c r="F11" s="30" t="s">
        <v>47</v>
      </c>
      <c r="G11" s="32" t="s">
        <v>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90.0" customHeight="1">
      <c r="A12" s="36"/>
      <c r="B12" s="29" t="s">
        <v>48</v>
      </c>
      <c r="C12" s="30" t="s">
        <v>36</v>
      </c>
      <c r="D12" s="30" t="s">
        <v>49</v>
      </c>
      <c r="E12" s="30" t="s">
        <v>50</v>
      </c>
      <c r="F12" s="30" t="s">
        <v>51</v>
      </c>
      <c r="G12" s="32" t="s">
        <v>3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 t="s">
        <v>52</v>
      </c>
      <c r="S12" s="14"/>
      <c r="T12" s="14"/>
      <c r="U12" s="14"/>
      <c r="V12" s="14"/>
      <c r="W12" s="14"/>
      <c r="X12" s="14"/>
      <c r="Y12" s="14"/>
      <c r="Z12" s="14"/>
      <c r="AA12" s="14"/>
    </row>
    <row r="13" ht="247.5" customHeight="1">
      <c r="A13" s="36"/>
      <c r="B13" s="29" t="s">
        <v>53</v>
      </c>
      <c r="C13" s="30" t="s">
        <v>54</v>
      </c>
      <c r="D13" s="30" t="s">
        <v>55</v>
      </c>
      <c r="E13" s="30" t="s">
        <v>56</v>
      </c>
      <c r="F13" s="30" t="s">
        <v>57</v>
      </c>
      <c r="G13" s="32" t="s">
        <v>3</v>
      </c>
      <c r="H13" s="37"/>
      <c r="I13" s="14"/>
      <c r="J13" s="14"/>
      <c r="K13" s="14"/>
      <c r="L13" s="14"/>
      <c r="M13" s="14"/>
      <c r="N13" s="14"/>
      <c r="O13" s="14"/>
      <c r="P13" s="14"/>
      <c r="Q13" s="14"/>
      <c r="R13" s="14" t="s">
        <v>58</v>
      </c>
      <c r="S13" s="14"/>
      <c r="T13" s="14"/>
      <c r="U13" s="14"/>
      <c r="V13" s="14"/>
      <c r="W13" s="14"/>
      <c r="X13" s="14"/>
      <c r="Y13" s="14"/>
      <c r="Z13" s="14"/>
      <c r="AA13" s="14"/>
    </row>
    <row r="14" ht="219.0" customHeight="1">
      <c r="A14" s="36"/>
      <c r="B14" s="29" t="s">
        <v>59</v>
      </c>
      <c r="C14" s="30" t="s">
        <v>54</v>
      </c>
      <c r="D14" s="30" t="s">
        <v>60</v>
      </c>
      <c r="E14" s="30" t="s">
        <v>61</v>
      </c>
      <c r="F14" s="30" t="s">
        <v>62</v>
      </c>
      <c r="G14" s="32" t="s">
        <v>3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 t="s">
        <v>63</v>
      </c>
      <c r="S14" s="14"/>
      <c r="T14" s="14"/>
      <c r="U14" s="14"/>
      <c r="V14" s="14"/>
      <c r="W14" s="14"/>
      <c r="X14" s="14"/>
      <c r="Y14" s="14"/>
      <c r="Z14" s="14"/>
      <c r="AA14" s="14"/>
    </row>
    <row r="15" ht="124.5" customHeight="1">
      <c r="A15" s="36"/>
      <c r="B15" s="29" t="s">
        <v>64</v>
      </c>
      <c r="C15" s="30" t="s">
        <v>54</v>
      </c>
      <c r="D15" s="30" t="s">
        <v>65</v>
      </c>
      <c r="E15" s="30" t="s">
        <v>66</v>
      </c>
      <c r="F15" s="30" t="s">
        <v>67</v>
      </c>
      <c r="G15" s="32" t="s">
        <v>3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 t="s">
        <v>68</v>
      </c>
      <c r="S15" s="14"/>
      <c r="T15" s="14"/>
      <c r="U15" s="14"/>
      <c r="V15" s="14"/>
      <c r="W15" s="14"/>
      <c r="X15" s="14"/>
      <c r="Y15" s="14"/>
      <c r="Z15" s="14"/>
      <c r="AA15" s="14"/>
    </row>
    <row r="16" ht="93.0" customHeight="1">
      <c r="A16" s="36"/>
      <c r="B16" s="29" t="s">
        <v>69</v>
      </c>
      <c r="C16" s="30" t="s">
        <v>54</v>
      </c>
      <c r="D16" s="30" t="s">
        <v>41</v>
      </c>
      <c r="E16" s="30" t="s">
        <v>42</v>
      </c>
      <c r="F16" s="30" t="s">
        <v>43</v>
      </c>
      <c r="G16" s="32" t="s">
        <v>3</v>
      </c>
      <c r="H16" s="3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397.5" customHeight="1">
      <c r="A17" s="36"/>
      <c r="B17" s="29" t="s">
        <v>70</v>
      </c>
      <c r="C17" s="30" t="s">
        <v>71</v>
      </c>
      <c r="D17" s="30" t="s">
        <v>72</v>
      </c>
      <c r="E17" s="30" t="s">
        <v>73</v>
      </c>
      <c r="F17" s="30" t="s">
        <v>74</v>
      </c>
      <c r="G17" s="32" t="s">
        <v>3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258.0" customHeight="1">
      <c r="A18" s="36"/>
      <c r="B18" s="39" t="s">
        <v>75</v>
      </c>
      <c r="C18" s="30" t="s">
        <v>71</v>
      </c>
      <c r="D18" s="30" t="s">
        <v>76</v>
      </c>
      <c r="E18" s="30" t="s">
        <v>77</v>
      </c>
      <c r="F18" s="30" t="s">
        <v>78</v>
      </c>
      <c r="G18" s="32" t="s">
        <v>3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99.0" customHeight="1">
      <c r="A19" s="36"/>
      <c r="B19" s="39" t="s">
        <v>79</v>
      </c>
      <c r="C19" s="30" t="s">
        <v>71</v>
      </c>
      <c r="D19" s="30" t="s">
        <v>41</v>
      </c>
      <c r="E19" s="30" t="s">
        <v>42</v>
      </c>
      <c r="F19" s="30" t="s">
        <v>43</v>
      </c>
      <c r="G19" s="32" t="s">
        <v>3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508.5" customHeight="1">
      <c r="A20" s="36"/>
      <c r="B20" s="39" t="s">
        <v>80</v>
      </c>
      <c r="C20" s="30" t="s">
        <v>81</v>
      </c>
      <c r="D20" s="30" t="s">
        <v>82</v>
      </c>
      <c r="E20" s="30" t="s">
        <v>83</v>
      </c>
      <c r="F20" s="30" t="s">
        <v>84</v>
      </c>
      <c r="G20" s="32" t="s">
        <v>3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00.5" customHeight="1">
      <c r="A21" s="36"/>
      <c r="B21" s="39" t="s">
        <v>85</v>
      </c>
      <c r="C21" s="30" t="s">
        <v>81</v>
      </c>
      <c r="D21" s="30" t="s">
        <v>86</v>
      </c>
      <c r="E21" s="30" t="s">
        <v>46</v>
      </c>
      <c r="F21" s="30" t="s">
        <v>47</v>
      </c>
      <c r="G21" s="40" t="s">
        <v>3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02.0" customHeight="1">
      <c r="A22" s="41"/>
      <c r="B22" s="42" t="s">
        <v>87</v>
      </c>
      <c r="C22" s="30" t="s">
        <v>81</v>
      </c>
      <c r="D22" s="30" t="s">
        <v>41</v>
      </c>
      <c r="E22" s="30" t="s">
        <v>42</v>
      </c>
      <c r="F22" s="30" t="s">
        <v>43</v>
      </c>
      <c r="G22" s="42" t="s">
        <v>3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292.5" customHeight="1">
      <c r="A23" s="14"/>
      <c r="B23" s="43"/>
      <c r="C23" s="14"/>
      <c r="D23" s="14"/>
      <c r="E23" s="14"/>
      <c r="F23" s="14"/>
      <c r="G23" s="4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292.5" customHeight="1">
      <c r="A24" s="14"/>
      <c r="B24" s="43"/>
      <c r="C24" s="14"/>
      <c r="D24" s="14"/>
      <c r="E24" s="14"/>
      <c r="F24" s="14"/>
      <c r="G24" s="4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27.0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27.0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27.0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27.0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27.0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27.0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27.0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27.0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27.0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27.0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27.0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27.0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27.0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27.0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27.0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27.0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27.0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27.0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27.0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27.0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27.0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27.0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27.0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27.0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27.0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27.0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27.0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27.0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27.0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27.0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27.0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27.0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27.0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27.0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27.0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27.0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27.0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27.0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27.0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27.0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27.0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27.0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27.0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27.0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27.0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27.0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27.0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27.0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27.0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27.0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27.0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27.0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27.0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27.0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27.0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27.0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27.0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27.0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27.0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27.0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27.0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27.0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27.0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27.0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27.0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27.0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27.0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27.0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27.0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27.0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27.0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27.0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27.0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27.0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27.0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27.0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27.0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27.0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27.0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27.0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27.0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27.0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27.0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27.0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27.0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27.0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27.0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27.0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27.0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27.0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27.0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27.0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27.0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27.0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27.0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27.0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27.0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27.0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27.0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27.0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27.0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27.0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27.0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27.0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27.0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27.0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27.0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27.0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27.0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27.0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27.0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27.0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27.0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27.0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27.0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27.0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27.0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27.0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27.0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27.0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27.0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27.0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27.0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27.0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27.0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27.0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27.0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27.0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27.0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27.0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27.0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27.0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27.0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27.0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27.0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27.0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27.0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27.0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27.0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27.0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27.0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27.0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27.0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27.0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27.0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27.0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27.0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27.0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27.0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27.0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27.0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27.0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27.0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27.0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27.0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27.0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27.0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27.0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27.0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27.0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27.0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27.0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27.0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27.0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27.0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27.0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27.0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27.0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27.0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27.0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27.0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27.0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27.0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27.0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27.0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27.0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27.0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27.0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27.0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27.0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27.0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27.0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27.0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27.0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27.0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27.0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27.0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27.0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27.0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27.0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27.0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27.0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27.0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27.0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27.0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27.0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27.0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27.0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27.0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27.0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27.0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27.0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27.0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27.0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27.0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27.0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27.0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27.0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27.0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27.0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27.0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27.0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27.0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27.0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27.0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27.0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27.0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27.0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27.0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27.0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27.0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27.0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27.0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27.0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27.0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27.0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27.0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27.0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27.0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27.0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27.0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27.0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27.0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27.0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27.0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27.0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27.0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27.0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27.0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27.0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27.0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27.0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27.0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27.0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27.0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27.0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27.0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27.0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27.0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27.0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27.0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27.0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27.0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27.0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27.0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27.0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27.0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27.0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27.0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27.0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27.0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27.0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27.0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27.0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27.0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27.0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27.0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27.0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27.0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27.0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27.0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27.0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27.0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27.0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27.0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27.0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27.0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27.0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27.0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27.0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27.0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27.0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27.0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27.0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27.0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27.0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27.0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27.0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27.0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27.0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27.0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27.0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27.0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27.0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27.0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27.0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27.0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27.0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27.0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27.0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27.0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27.0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27.0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27.0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27.0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27.0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27.0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27.0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27.0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27.0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27.0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27.0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27.0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27.0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27.0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27.0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27.0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27.0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27.0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27.0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27.0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27.0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27.0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27.0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27.0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27.0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27.0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27.0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27.0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27.0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27.0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27.0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27.0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27.0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27.0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27.0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27.0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27.0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27.0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27.0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27.0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27.0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27.0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27.0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27.0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27.0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27.0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27.0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27.0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27.0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27.0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27.0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27.0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27.0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27.0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27.0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27.0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27.0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27.0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27.0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27.0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27.0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27.0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27.0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27.0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27.0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27.0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27.0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27.0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27.0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27.0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27.0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27.0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27.0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27.0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27.0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27.0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27.0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27.0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27.0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27.0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27.0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27.0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27.0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27.0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27.0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27.0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27.0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27.0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27.0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27.0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27.0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27.0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27.0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27.0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27.0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27.0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27.0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27.0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27.0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27.0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27.0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27.0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27.0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27.0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27.0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27.0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27.0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27.0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27.0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27.0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27.0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27.0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27.0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27.0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27.0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27.0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27.0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27.0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27.0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27.0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27.0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27.0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27.0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27.0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27.0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27.0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27.0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27.0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27.0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27.0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27.0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27.0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27.0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27.0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27.0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27.0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27.0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27.0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27.0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27.0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27.0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27.0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27.0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27.0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27.0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27.0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27.0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27.0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27.0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27.0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27.0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27.0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27.0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27.0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27.0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27.0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27.0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27.0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27.0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27.0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27.0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27.0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27.0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27.0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27.0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27.0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27.0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27.0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27.0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27.0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27.0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27.0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27.0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27.0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27.0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27.0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27.0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27.0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27.0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27.0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27.0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27.0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27.0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27.0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27.0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27.0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27.0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27.0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27.0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27.0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27.0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27.0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27.0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27.0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27.0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27.0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27.0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27.0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27.0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27.0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27.0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27.0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27.0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27.0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27.0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27.0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27.0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27.0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27.0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27.0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27.0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27.0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27.0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27.0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27.0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27.0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27.0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27.0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27.0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27.0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27.0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27.0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27.0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27.0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27.0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27.0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27.0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27.0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27.0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27.0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27.0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27.0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27.0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27.0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27.0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27.0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27.0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27.0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27.0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27.0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27.0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27.0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27.0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27.0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27.0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27.0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27.0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27.0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27.0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27.0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27.0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27.0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27.0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27.0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27.0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27.0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27.0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27.0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27.0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27.0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27.0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27.0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27.0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27.0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27.0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27.0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27.0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27.0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27.0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27.0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27.0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27.0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27.0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27.0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27.0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27.0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27.0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27.0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27.0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27.0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27.0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27.0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27.0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27.0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27.0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27.0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27.0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27.0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27.0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27.0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27.0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27.0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27.0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27.0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27.0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27.0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27.0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27.0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27.0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27.0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27.0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27.0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27.0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27.0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27.0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27.0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27.0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27.0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27.0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27.0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27.0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27.0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27.0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27.0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27.0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27.0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27.0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27.0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27.0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27.0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27.0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27.0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27.0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27.0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27.0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27.0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27.0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27.0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27.0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27.0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27.0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27.0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27.0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27.0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27.0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27.0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27.0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27.0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27.0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27.0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27.0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27.0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27.0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27.0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27.0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27.0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27.0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27.0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27.0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27.0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27.0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27.0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27.0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27.0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27.0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27.0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27.0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27.0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27.0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27.0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27.0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27.0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27.0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27.0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27.0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27.0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27.0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27.0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27.0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27.0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27.0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27.0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27.0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27.0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27.0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27.0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27.0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27.0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27.0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27.0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27.0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27.0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27.0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27.0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27.0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27.0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27.0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27.0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27.0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27.0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27.0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27.0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27.0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27.0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27.0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27.0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27.0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27.0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27.0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27.0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27.0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27.0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27.0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27.0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27.0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27.0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27.0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27.0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27.0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27.0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27.0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27.0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27.0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27.0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27.0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27.0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27.0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27.0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27.0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27.0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27.0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27.0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27.0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27.0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27.0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27.0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27.0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27.0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27.0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27.0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27.0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27.0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27.0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27.0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27.0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27.0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27.0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27.0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27.0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27.0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27.0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27.0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27.0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27.0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27.0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27.0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27.0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27.0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27.0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27.0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27.0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27.0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27.0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27.0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27.0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27.0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27.0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27.0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27.0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27.0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27.0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27.0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27.0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27.0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27.0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27.0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27.0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27.0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27.0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27.0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27.0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27.0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27.0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27.0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27.0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27.0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27.0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27.0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27.0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27.0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27.0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27.0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27.0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27.0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27.0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27.0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27.0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27.0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27.0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27.0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27.0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27.0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27.0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27.0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27.0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27.0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27.0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27.0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27.0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27.0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27.0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27.0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27.0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27.0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27.0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27.0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27.0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27.0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27.0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27.0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27.0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27.0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27.0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27.0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27.0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27.0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27.0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27.0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27.0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27.0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27.0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27.0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27.0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27.0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27.0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27.0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27.0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27.0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27.0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27.0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27.0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27.0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27.0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27.0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27.0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27.0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27.0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27.0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27.0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27.0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27.0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27.0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27.0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27.0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27.0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27.0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27.0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27.0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27.0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27.0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27.0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27.0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27.0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27.0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27.0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27.0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27.0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27.0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27.0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27.0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27.0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27.0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27.0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27.0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27.0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27.0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27.0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27.0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27.0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27.0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27.0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27.0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27.0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27.0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27.0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27.0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27.0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27.0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27.0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27.0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27.0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27.0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27.0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27.0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27.0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27.0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27.0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27.0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27.0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27.0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27.0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27.0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27.0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27.0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27.0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27.0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27.0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27.0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27.0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27.0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27.0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27.0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27.0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27.0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27.0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27.0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27.0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27.0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27.0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27.0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27.0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27.0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27.0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27.0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27.0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27.0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27.0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27.0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27.0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27.0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27.0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27.0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27.0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27.0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27.0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27.0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27.0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27.0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27.0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27.0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27.0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27.0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27.0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27.0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27.0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27.0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27.0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27.0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27.0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27.0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27.0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27.0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27.0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27.0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27.0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27.0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27.0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27.0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27.0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27.0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27.0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27.0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27.0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27.0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27.0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27.0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27.0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27.0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27.0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27.0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27.0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27.0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27.0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27.0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27.0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27.0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27.0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27.0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27.0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27.0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27.0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27.0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27.0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27.0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ht="27.0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ht="27.0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ht="27.0" customHeight="1">
      <c r="A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ht="27.0" customHeight="1">
      <c r="A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 ht="27.0" customHeight="1">
      <c r="A1004" s="14"/>
      <c r="D1004" s="14"/>
      <c r="E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 ht="27.0" customHeight="1">
      <c r="A1005" s="14"/>
      <c r="D1005" s="14"/>
      <c r="E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 ht="27.0" customHeight="1">
      <c r="A1006" s="14"/>
      <c r="D1006" s="14"/>
      <c r="E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 ht="27.0" customHeight="1">
      <c r="A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</sheetData>
  <mergeCells count="12">
    <mergeCell ref="A6:B6"/>
    <mergeCell ref="C6:G6"/>
    <mergeCell ref="A7:B7"/>
    <mergeCell ref="C7:G7"/>
    <mergeCell ref="A9:A22"/>
    <mergeCell ref="A1:G1"/>
    <mergeCell ref="B3:C3"/>
    <mergeCell ref="E3:F3"/>
    <mergeCell ref="B4:C4"/>
    <mergeCell ref="E4:F4"/>
    <mergeCell ref="B5:C5"/>
    <mergeCell ref="E5:F5"/>
  </mergeCells>
  <printOptions/>
  <pageMargins bottom="0.75" footer="0.0" header="0.0" left="0.7" right="0.7" top="0.75"/>
  <pageSetup orientation="landscape"/>
  <drawing r:id="rId1"/>
</worksheet>
</file>