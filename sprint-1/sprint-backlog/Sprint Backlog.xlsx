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" sheetId="1" r:id="rId5"/>
  </sheets>
  <definedNames/>
  <calcPr/>
</workbook>
</file>

<file path=xl/sharedStrings.xml><?xml version="1.0" encoding="utf-8"?>
<sst xmlns="http://schemas.openxmlformats.org/spreadsheetml/2006/main" count="52" uniqueCount="32">
  <si>
    <t>Sprint Backlog</t>
  </si>
  <si>
    <t>***หมายเหตุ: กำหนดให้แต่ละ Sprint มีความยาว 1 สัปดาห์เท่ากัน</t>
  </si>
  <si>
    <t>Sprint No.</t>
  </si>
  <si>
    <t>Product Backlog Items</t>
  </si>
  <si>
    <t>Sprint Tasks</t>
  </si>
  <si>
    <t>Details in Task</t>
  </si>
  <si>
    <t>Initial Estimate of Effort</t>
  </si>
  <si>
    <t>New Estimate of Effort Remaining at The End of Day…</t>
  </si>
  <si>
    <t>Team velocity =</t>
  </si>
  <si>
    <t>Burrn down charts:</t>
  </si>
  <si>
    <t>As a driver, I want to report incidents to the admin and get the update on the filed case.</t>
  </si>
  <si>
    <t>Frontend Design</t>
  </si>
  <si>
    <t>ออกแบบหน้าเว็บส่วนของ Report</t>
  </si>
  <si>
    <t>Database Setup and update</t>
  </si>
  <si>
    <t>จัดเตรียมและอัพเดทข้อมูลใน Database</t>
  </si>
  <si>
    <t>DAYS</t>
  </si>
  <si>
    <t>Test Design</t>
  </si>
  <si>
    <t>ออกแบบการเทสระบบสำหรับการทดสอบโดยการใช้ Robotframework</t>
  </si>
  <si>
    <t>HOURS</t>
  </si>
  <si>
    <t>Frontend</t>
  </si>
  <si>
    <t>การพัฒนาส่วนติดต่อผู้ใช้</t>
  </si>
  <si>
    <t>Backend</t>
  </si>
  <si>
    <t>การพัฒนาระบบฝั่งเซิร์ฟเวอร์</t>
  </si>
  <si>
    <t>Testing</t>
  </si>
  <si>
    <t>ผู้ทดสอบทำการทดสอบระดับ User acceptance test (UAT) ด้วยวิธีการทดสอบแบบอัตโนมัติ (Automated test) การทดสอบโดยการใช้ Robotframework</t>
  </si>
  <si>
    <t>API Test</t>
  </si>
  <si>
    <t>ผู้ทดสอบทำการทดสอบ API ทดสอบโดยการใช้ Postman</t>
  </si>
  <si>
    <t>Document(User Manual)</t>
  </si>
  <si>
    <t>การทำเอกสาร/คู่มือ</t>
  </si>
  <si>
    <t>Merge code, Run code and Deployment</t>
  </si>
  <si>
    <t>การเผยแพร่ระบบ</t>
  </si>
  <si>
    <t>As a student, I want to securely log in and retrieve accurate course and exam data so that I can reliably access my academic information.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</si>
</sst>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theme="1"/>
      <name val="Bai Jamjuree"/>
    </font>
    <font>
      <sz val="14.0"/>
      <color theme="1"/>
      <name val="Bai Jamjuree"/>
    </font>
    <font>
      <b/>
      <sz val="14.0"/>
      <color rgb="FF000000"/>
      <name val="Bai Jamjuree"/>
    </font>
    <font/>
    <font>
      <sz val="20.0"/>
      <color theme="1"/>
      <name val="&quot;Cordia New&quot;"/>
    </font>
    <font>
      <sz val="20.0"/>
      <color rgb="FF000000"/>
      <name val="&quot;Cordia New&quot;"/>
    </font>
    <font>
      <sz val="14.0"/>
      <color rgb="FF000000"/>
      <name val="Bai Jamjuree"/>
    </font>
    <font>
      <sz val="18.0"/>
      <color theme="1"/>
      <name val="Sarabun"/>
    </font>
    <font>
      <sz val="14.0"/>
      <color rgb="FF000000"/>
      <name val="Serif"/>
    </font>
    <font>
      <sz val="11.0"/>
      <color rgb="FF000000"/>
      <name val="Tahoma"/>
    </font>
    <font>
      <sz val="14.0"/>
      <color theme="1"/>
      <name val="Serif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0" fillId="3" fontId="5" numFmtId="0" xfId="0" applyAlignment="1" applyFill="1" applyFont="1">
      <alignment horizontal="left" readingOrder="0" shrinkToFit="0" vertical="bottom" wrapText="1"/>
    </xf>
    <xf borderId="0" fillId="0" fontId="5" numFmtId="0" xfId="0" applyAlignment="1" applyFont="1">
      <alignment horizontal="center" readingOrder="0" shrinkToFit="0" wrapText="1"/>
    </xf>
    <xf borderId="0" fillId="0" fontId="6" numFmtId="0" xfId="0" applyAlignment="1" applyFont="1">
      <alignment shrinkToFit="0" vertical="bottom" wrapText="1"/>
    </xf>
    <xf borderId="0" fillId="3" fontId="6" numFmtId="0" xfId="0" applyAlignment="1" applyFont="1">
      <alignment horizontal="left" readingOrder="0" shrinkToFit="0" vertical="bottom" wrapText="1"/>
    </xf>
    <xf borderId="1" fillId="4" fontId="7" numFmtId="0" xfId="0" applyAlignment="1" applyBorder="1" applyFill="1" applyFont="1">
      <alignment horizontal="center" readingOrder="0" shrinkToFit="0" vertical="center" wrapText="1"/>
    </xf>
    <xf borderId="1" fillId="4" fontId="7" numFmtId="0" xfId="0" applyAlignment="1" applyBorder="1" applyFont="1">
      <alignment horizontal="left" readingOrder="0" shrinkToFit="0" vertical="center" wrapText="1"/>
    </xf>
    <xf borderId="6" fillId="4" fontId="8" numFmtId="0" xfId="0" applyAlignment="1" applyBorder="1" applyFont="1">
      <alignment readingOrder="0" shrinkToFit="0" vertical="top" wrapText="1"/>
    </xf>
    <xf borderId="6" fillId="4" fontId="8" numFmtId="0" xfId="0" applyAlignment="1" applyBorder="1" applyFont="1">
      <alignment readingOrder="0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6" fillId="4" fontId="7" numFmtId="0" xfId="0" applyAlignment="1" applyBorder="1" applyFont="1">
      <alignment horizontal="center" readingOrder="0" shrinkToFit="0" vertical="center" wrapText="1"/>
    </xf>
    <xf borderId="6" fillId="4" fontId="2" numFmtId="0" xfId="0" applyAlignment="1" applyBorder="1" applyFont="1">
      <alignment horizontal="center" shrinkToFit="0" wrapText="1"/>
    </xf>
    <xf borderId="7" fillId="0" fontId="4" numFmtId="0" xfId="0" applyBorder="1" applyFont="1"/>
    <xf borderId="6" fillId="4" fontId="9" numFmtId="0" xfId="0" applyAlignment="1" applyBorder="1" applyFont="1">
      <alignment horizontal="center" readingOrder="0" shrinkToFit="0" vertical="center" wrapText="1"/>
    </xf>
    <xf borderId="0" fillId="3" fontId="6" numFmtId="0" xfId="0" applyAlignment="1" applyFont="1">
      <alignment horizontal="right" readingOrder="0" shrinkToFit="0" vertical="bottom" wrapText="1"/>
    </xf>
    <xf borderId="6" fillId="0" fontId="6" numFmtId="0" xfId="0" applyAlignment="1" applyBorder="1" applyFont="1">
      <alignment horizontal="left" readingOrder="0" shrinkToFit="0" vertical="bottom" wrapText="1"/>
    </xf>
    <xf borderId="6" fillId="0" fontId="6" numFmtId="0" xfId="0" applyAlignment="1" applyBorder="1" applyFont="1">
      <alignment horizontal="right" readingOrder="0" shrinkToFit="0" vertical="bottom" wrapText="1"/>
    </xf>
    <xf borderId="0" fillId="0" fontId="10" numFmtId="0" xfId="0" applyAlignment="1" applyFont="1">
      <alignment horizontal="left" shrinkToFit="0" vertical="top" wrapText="1"/>
    </xf>
    <xf borderId="0" fillId="4" fontId="8" numFmtId="0" xfId="0" applyAlignment="1" applyFont="1">
      <alignment horizontal="center" readingOrder="0" shrinkToFit="0" wrapText="1"/>
    </xf>
    <xf borderId="0" fillId="4" fontId="8" numFmtId="0" xfId="0" applyAlignment="1" applyFont="1">
      <alignment readingOrder="0" shrinkToFit="0" vertical="center" wrapText="1"/>
    </xf>
    <xf borderId="1" fillId="5" fontId="7" numFmtId="0" xfId="0" applyAlignment="1" applyBorder="1" applyFill="1" applyFont="1">
      <alignment horizontal="center" readingOrder="0" shrinkToFit="0" vertical="center" wrapText="1"/>
    </xf>
    <xf borderId="1" fillId="5" fontId="7" numFmtId="0" xfId="0" applyAlignment="1" applyBorder="1" applyFont="1">
      <alignment horizontal="left" readingOrder="0" shrinkToFit="0" vertical="center" wrapText="1"/>
    </xf>
    <xf borderId="6" fillId="5" fontId="8" numFmtId="0" xfId="0" applyAlignment="1" applyBorder="1" applyFont="1">
      <alignment readingOrder="0" shrinkToFit="0" vertical="top" wrapText="1"/>
    </xf>
    <xf borderId="6" fillId="5" fontId="8" numFmtId="0" xfId="0" applyAlignment="1" applyBorder="1" applyFont="1">
      <alignment readingOrder="0" shrinkToFit="0" vertical="center" wrapText="1"/>
    </xf>
    <xf borderId="6" fillId="5" fontId="8" numFmtId="0" xfId="0" applyAlignment="1" applyBorder="1" applyFont="1">
      <alignment horizontal="center" readingOrder="0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6" fillId="5" fontId="9" numFmtId="0" xfId="0" applyAlignment="1" applyBorder="1" applyFont="1">
      <alignment horizontal="center" readingOrder="0" shrinkToFit="0" vertical="center" wrapText="1"/>
    </xf>
    <xf borderId="6" fillId="5" fontId="2" numFmtId="0" xfId="0" applyAlignment="1" applyBorder="1" applyFont="1">
      <alignment horizontal="center" shrinkToFit="0" wrapText="1"/>
    </xf>
    <xf borderId="0" fillId="5" fontId="8" numFmtId="0" xfId="0" applyAlignment="1" applyFont="1">
      <alignment horizontal="center" readingOrder="0" shrinkToFit="0" wrapText="1"/>
    </xf>
    <xf borderId="0" fillId="5" fontId="8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HOURS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'Sprint Backlog'!$R$19:$X$19</c:f>
              <c:numCache/>
            </c:numRef>
          </c:val>
          <c:smooth val="0"/>
        </c:ser>
        <c:axId val="1159848213"/>
        <c:axId val="279519273"/>
      </c:lineChart>
      <c:catAx>
        <c:axId val="1159848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9519273"/>
      </c:catAx>
      <c:valAx>
        <c:axId val="2795192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8482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HOURS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'Sprint Backlog'!$Q$8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'Sprint Backlog'!$R$8:$X$8</c:f>
              <c:numCache/>
            </c:numRef>
          </c:val>
          <c:smooth val="0"/>
        </c:ser>
        <c:axId val="167865085"/>
        <c:axId val="1975356285"/>
      </c:lineChart>
      <c:catAx>
        <c:axId val="167865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5356285"/>
      </c:catAx>
      <c:valAx>
        <c:axId val="1975356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8650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19050</xdr:colOff>
      <xdr:row>16</xdr:row>
      <xdr:rowOff>781050</xdr:rowOff>
    </xdr:from>
    <xdr:ext cx="3219450" cy="1990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24</xdr:col>
      <xdr:colOff>66675</xdr:colOff>
      <xdr:row>5</xdr:row>
      <xdr:rowOff>266700</xdr:rowOff>
    </xdr:from>
    <xdr:ext cx="3124200" cy="1990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37.75"/>
    <col customWidth="1" min="3" max="3" width="31.13"/>
    <col customWidth="1" min="4" max="4" width="94.75"/>
    <col customWidth="1" min="5" max="5" width="17.75"/>
    <col customWidth="1" min="6" max="12" width="5.88"/>
    <col customWidth="1" min="13" max="13" width="7.63"/>
    <col customWidth="1" min="14" max="14" width="2.13"/>
    <col customWidth="1" min="15" max="15" width="23.13"/>
    <col customWidth="1" min="16" max="16" width="7.63"/>
    <col customWidth="1" min="17" max="17" width="10.75"/>
    <col customWidth="1" min="18" max="30" width="7.63"/>
  </cols>
  <sheetData>
    <row r="1" ht="32.25" customHeight="1">
      <c r="A1" s="1" t="s">
        <v>0</v>
      </c>
      <c r="M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57.0" customHeight="1">
      <c r="A2" s="3" t="s">
        <v>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46.5" customHeight="1">
      <c r="A4" s="5" t="s">
        <v>2</v>
      </c>
      <c r="B4" s="5" t="s">
        <v>3</v>
      </c>
      <c r="C4" s="5" t="s">
        <v>4</v>
      </c>
      <c r="D4" s="6" t="s">
        <v>5</v>
      </c>
      <c r="E4" s="5" t="s">
        <v>6</v>
      </c>
      <c r="F4" s="7" t="s">
        <v>7</v>
      </c>
      <c r="G4" s="8"/>
      <c r="H4" s="8"/>
      <c r="I4" s="8"/>
      <c r="J4" s="8"/>
      <c r="K4" s="8"/>
      <c r="L4" s="9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ht="24.0" customHeight="1">
      <c r="A5" s="10"/>
      <c r="B5" s="10"/>
      <c r="C5" s="10"/>
      <c r="D5" s="10"/>
      <c r="E5" s="10"/>
      <c r="F5" s="11">
        <v>1.0</v>
      </c>
      <c r="G5" s="11">
        <v>2.0</v>
      </c>
      <c r="H5" s="11">
        <v>3.0</v>
      </c>
      <c r="I5" s="11">
        <v>4.0</v>
      </c>
      <c r="J5" s="11">
        <v>5.0</v>
      </c>
      <c r="K5" s="11">
        <v>6.0</v>
      </c>
      <c r="L5" s="11">
        <v>7.0</v>
      </c>
      <c r="O5" s="12" t="s">
        <v>8</v>
      </c>
      <c r="P5" s="13">
        <f>sum(O7:O18)/2</f>
        <v>71</v>
      </c>
      <c r="S5" s="14"/>
      <c r="T5" s="14"/>
      <c r="U5" s="14"/>
      <c r="V5" s="14"/>
      <c r="W5" s="14"/>
      <c r="X5" s="14"/>
      <c r="Y5" s="15" t="s">
        <v>9</v>
      </c>
    </row>
    <row r="6" ht="46.5" customHeight="1">
      <c r="A6" s="16">
        <v>11.0</v>
      </c>
      <c r="B6" s="17" t="s">
        <v>10</v>
      </c>
      <c r="C6" s="18" t="s">
        <v>11</v>
      </c>
      <c r="D6" s="19" t="s">
        <v>12</v>
      </c>
      <c r="E6" s="20">
        <v>2.0</v>
      </c>
      <c r="F6" s="21">
        <v>2.0</v>
      </c>
      <c r="G6" s="21">
        <v>2.0</v>
      </c>
      <c r="H6" s="21">
        <v>0.0</v>
      </c>
      <c r="I6" s="21">
        <v>0.0</v>
      </c>
      <c r="J6" s="21">
        <v>0.0</v>
      </c>
      <c r="K6" s="21">
        <v>0.0</v>
      </c>
      <c r="L6" s="22">
        <v>0.0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ht="46.5" customHeight="1">
      <c r="A7" s="23"/>
      <c r="B7" s="23"/>
      <c r="C7" s="18" t="s">
        <v>13</v>
      </c>
      <c r="D7" s="19" t="s">
        <v>14</v>
      </c>
      <c r="E7" s="20">
        <v>3.0</v>
      </c>
      <c r="F7" s="21">
        <v>3.0</v>
      </c>
      <c r="G7" s="21">
        <v>3.0</v>
      </c>
      <c r="H7" s="24">
        <v>0.0</v>
      </c>
      <c r="I7" s="21">
        <v>0.0</v>
      </c>
      <c r="J7" s="21">
        <v>0.0</v>
      </c>
      <c r="K7" s="21">
        <v>0.0</v>
      </c>
      <c r="L7" s="22">
        <v>0.0</v>
      </c>
      <c r="O7" s="25">
        <f>sum(E6:E14)</f>
        <v>71</v>
      </c>
      <c r="P7" s="14"/>
      <c r="Q7" s="26" t="s">
        <v>15</v>
      </c>
      <c r="R7" s="27">
        <v>1.0</v>
      </c>
      <c r="S7" s="27">
        <v>2.0</v>
      </c>
      <c r="T7" s="27">
        <v>3.0</v>
      </c>
      <c r="U7" s="27">
        <v>4.0</v>
      </c>
      <c r="V7" s="27">
        <v>5.0</v>
      </c>
      <c r="W7" s="27">
        <v>6.0</v>
      </c>
      <c r="X7" s="27">
        <v>7.0</v>
      </c>
      <c r="Y7" s="28"/>
      <c r="Z7" s="14"/>
      <c r="AA7" s="14"/>
      <c r="AB7" s="14"/>
      <c r="AC7" s="14"/>
      <c r="AD7" s="14"/>
    </row>
    <row r="8" ht="46.5" customHeight="1">
      <c r="A8" s="23"/>
      <c r="B8" s="23"/>
      <c r="C8" s="18" t="s">
        <v>16</v>
      </c>
      <c r="D8" s="19" t="s">
        <v>17</v>
      </c>
      <c r="E8" s="20">
        <v>4.0</v>
      </c>
      <c r="F8" s="21">
        <v>0.0</v>
      </c>
      <c r="G8" s="21">
        <v>0.0</v>
      </c>
      <c r="H8" s="21">
        <v>0.0</v>
      </c>
      <c r="I8" s="21">
        <v>0.0</v>
      </c>
      <c r="J8" s="21">
        <v>0.0</v>
      </c>
      <c r="K8" s="21">
        <v>4.0</v>
      </c>
      <c r="L8" s="22">
        <v>0.0</v>
      </c>
      <c r="O8" s="14"/>
      <c r="P8" s="14"/>
      <c r="Q8" s="26" t="s">
        <v>18</v>
      </c>
      <c r="R8" s="27">
        <f t="shared" ref="R8:X8" si="1">sum(F6:F14)</f>
        <v>5</v>
      </c>
      <c r="S8" s="27">
        <f t="shared" si="1"/>
        <v>40</v>
      </c>
      <c r="T8" s="27">
        <f t="shared" si="1"/>
        <v>35</v>
      </c>
      <c r="U8" s="27">
        <f t="shared" si="1"/>
        <v>35</v>
      </c>
      <c r="V8" s="27">
        <f t="shared" si="1"/>
        <v>35</v>
      </c>
      <c r="W8" s="27">
        <f t="shared" si="1"/>
        <v>21</v>
      </c>
      <c r="X8" s="27">
        <f t="shared" si="1"/>
        <v>0</v>
      </c>
      <c r="Y8" s="14"/>
      <c r="Z8" s="14"/>
      <c r="AA8" s="14"/>
      <c r="AB8" s="14"/>
      <c r="AC8" s="14"/>
      <c r="AD8" s="14"/>
    </row>
    <row r="9" ht="46.5" customHeight="1">
      <c r="A9" s="23"/>
      <c r="B9" s="23"/>
      <c r="C9" s="18" t="s">
        <v>19</v>
      </c>
      <c r="D9" s="19" t="s">
        <v>20</v>
      </c>
      <c r="E9" s="29">
        <v>15.0</v>
      </c>
      <c r="F9" s="24">
        <v>0.0</v>
      </c>
      <c r="G9" s="21">
        <v>15.0</v>
      </c>
      <c r="H9" s="21">
        <v>15.0</v>
      </c>
      <c r="I9" s="21">
        <v>15.0</v>
      </c>
      <c r="J9" s="21">
        <v>15.0</v>
      </c>
      <c r="K9" s="24">
        <v>0.0</v>
      </c>
      <c r="L9" s="22">
        <v>0.0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ht="46.5" customHeight="1">
      <c r="A10" s="23"/>
      <c r="B10" s="23"/>
      <c r="C10" s="18" t="s">
        <v>21</v>
      </c>
      <c r="D10" s="30" t="s">
        <v>22</v>
      </c>
      <c r="E10" s="20">
        <v>20.0</v>
      </c>
      <c r="F10" s="24">
        <v>0.0</v>
      </c>
      <c r="G10" s="21">
        <v>20.0</v>
      </c>
      <c r="H10" s="21">
        <v>20.0</v>
      </c>
      <c r="I10" s="21">
        <v>20.0</v>
      </c>
      <c r="J10" s="21">
        <v>20.0</v>
      </c>
      <c r="K10" s="24">
        <v>0.0</v>
      </c>
      <c r="L10" s="22">
        <v>0.0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ht="46.5" customHeight="1">
      <c r="A11" s="23"/>
      <c r="B11" s="23"/>
      <c r="C11" s="18" t="s">
        <v>23</v>
      </c>
      <c r="D11" s="19" t="s">
        <v>24</v>
      </c>
      <c r="E11" s="20">
        <v>8.0</v>
      </c>
      <c r="F11" s="21">
        <v>0.0</v>
      </c>
      <c r="G11" s="21">
        <v>0.0</v>
      </c>
      <c r="H11" s="21">
        <v>0.0</v>
      </c>
      <c r="I11" s="21">
        <v>0.0</v>
      </c>
      <c r="J11" s="21">
        <v>0.0</v>
      </c>
      <c r="K11" s="21">
        <v>4.0</v>
      </c>
      <c r="L11" s="22">
        <v>0.0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ht="46.5" customHeight="1">
      <c r="A12" s="23"/>
      <c r="B12" s="23"/>
      <c r="C12" s="18" t="s">
        <v>25</v>
      </c>
      <c r="D12" s="30" t="s">
        <v>26</v>
      </c>
      <c r="E12" s="20">
        <v>8.0</v>
      </c>
      <c r="F12" s="21">
        <v>0.0</v>
      </c>
      <c r="G12" s="21">
        <v>0.0</v>
      </c>
      <c r="H12" s="21">
        <v>0.0</v>
      </c>
      <c r="I12" s="21">
        <v>0.0</v>
      </c>
      <c r="J12" s="21">
        <v>0.0</v>
      </c>
      <c r="K12" s="21">
        <v>2.0</v>
      </c>
      <c r="L12" s="22">
        <v>0.0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ht="46.5" customHeight="1">
      <c r="A13" s="23"/>
      <c r="B13" s="23"/>
      <c r="C13" s="18" t="s">
        <v>27</v>
      </c>
      <c r="D13" s="19" t="s">
        <v>28</v>
      </c>
      <c r="E13" s="20">
        <v>7.0</v>
      </c>
      <c r="F13" s="21">
        <v>0.0</v>
      </c>
      <c r="G13" s="21">
        <v>0.0</v>
      </c>
      <c r="H13" s="21">
        <v>0.0</v>
      </c>
      <c r="I13" s="21">
        <v>0.0</v>
      </c>
      <c r="J13" s="21">
        <v>0.0</v>
      </c>
      <c r="K13" s="21">
        <v>7.0</v>
      </c>
      <c r="L13" s="22">
        <v>0.0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ht="79.5" customHeight="1">
      <c r="A14" s="23"/>
      <c r="B14" s="23"/>
      <c r="C14" s="18" t="s">
        <v>29</v>
      </c>
      <c r="D14" s="19" t="s">
        <v>30</v>
      </c>
      <c r="E14" s="20">
        <v>4.0</v>
      </c>
      <c r="F14" s="21">
        <v>0.0</v>
      </c>
      <c r="G14" s="21">
        <v>0.0</v>
      </c>
      <c r="H14" s="21">
        <v>0.0</v>
      </c>
      <c r="I14" s="21">
        <v>0.0</v>
      </c>
      <c r="J14" s="21">
        <v>0.0</v>
      </c>
      <c r="K14" s="21">
        <v>4.0</v>
      </c>
      <c r="L14" s="22">
        <v>0.0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ht="66.75" customHeight="1">
      <c r="A15" s="31">
        <v>13.0</v>
      </c>
      <c r="B15" s="32" t="s">
        <v>31</v>
      </c>
      <c r="C15" s="33" t="s">
        <v>11</v>
      </c>
      <c r="D15" s="34" t="s">
        <v>12</v>
      </c>
      <c r="E15" s="35">
        <v>2.0</v>
      </c>
      <c r="F15" s="36">
        <v>2.0</v>
      </c>
      <c r="G15" s="37">
        <v>2.0</v>
      </c>
      <c r="H15" s="36">
        <v>0.0</v>
      </c>
      <c r="I15" s="36">
        <v>0.0</v>
      </c>
      <c r="J15" s="36">
        <v>0.0</v>
      </c>
      <c r="K15" s="36">
        <v>0.0</v>
      </c>
      <c r="L15" s="38">
        <v>0.0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2"/>
      <c r="Z15" s="2"/>
      <c r="AA15" s="2"/>
      <c r="AB15" s="2"/>
      <c r="AC15" s="2"/>
      <c r="AD15" s="2"/>
    </row>
    <row r="16" ht="66.75" customHeight="1">
      <c r="A16" s="23"/>
      <c r="B16" s="23"/>
      <c r="C16" s="33" t="s">
        <v>13</v>
      </c>
      <c r="D16" s="34" t="s">
        <v>14</v>
      </c>
      <c r="E16" s="35">
        <v>3.0</v>
      </c>
      <c r="F16" s="36">
        <v>3.0</v>
      </c>
      <c r="G16" s="36">
        <v>3.0</v>
      </c>
      <c r="H16" s="36">
        <v>0.0</v>
      </c>
      <c r="I16" s="36">
        <v>0.0</v>
      </c>
      <c r="J16" s="36">
        <v>0.0</v>
      </c>
      <c r="K16" s="36">
        <v>0.0</v>
      </c>
      <c r="L16" s="38">
        <v>0.0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2"/>
      <c r="Z16" s="2"/>
      <c r="AA16" s="2"/>
      <c r="AB16" s="2"/>
      <c r="AC16" s="2"/>
      <c r="AD16" s="2"/>
    </row>
    <row r="17" ht="66.75" customHeight="1">
      <c r="A17" s="23"/>
      <c r="B17" s="23"/>
      <c r="C17" s="33" t="s">
        <v>16</v>
      </c>
      <c r="D17" s="34" t="s">
        <v>17</v>
      </c>
      <c r="E17" s="35">
        <v>4.0</v>
      </c>
      <c r="F17" s="36">
        <v>0.0</v>
      </c>
      <c r="G17" s="36">
        <v>0.0</v>
      </c>
      <c r="H17" s="36">
        <v>0.0</v>
      </c>
      <c r="I17" s="36">
        <v>0.0</v>
      </c>
      <c r="J17" s="36">
        <v>0.0</v>
      </c>
      <c r="K17" s="36">
        <v>4.0</v>
      </c>
      <c r="L17" s="38">
        <v>0.0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2"/>
      <c r="Z17" s="2"/>
      <c r="AA17" s="2"/>
      <c r="AB17" s="2"/>
      <c r="AC17" s="2"/>
      <c r="AD17" s="2"/>
    </row>
    <row r="18" ht="96.0" customHeight="1">
      <c r="A18" s="23"/>
      <c r="B18" s="23"/>
      <c r="C18" s="33" t="s">
        <v>19</v>
      </c>
      <c r="D18" s="34" t="s">
        <v>20</v>
      </c>
      <c r="E18" s="39">
        <v>15.0</v>
      </c>
      <c r="F18" s="36">
        <v>0.0</v>
      </c>
      <c r="G18" s="36">
        <v>15.0</v>
      </c>
      <c r="H18" s="36">
        <v>15.0</v>
      </c>
      <c r="I18" s="36">
        <v>15.0</v>
      </c>
      <c r="J18" s="36">
        <v>15.0</v>
      </c>
      <c r="K18" s="37"/>
      <c r="L18" s="38">
        <v>0.0</v>
      </c>
      <c r="O18" s="25">
        <f>sum(E15:E23)</f>
        <v>71</v>
      </c>
      <c r="P18" s="14"/>
      <c r="Q18" s="26" t="s">
        <v>15</v>
      </c>
      <c r="R18" s="27">
        <v>1.0</v>
      </c>
      <c r="S18" s="27">
        <v>2.0</v>
      </c>
      <c r="T18" s="27">
        <v>3.0</v>
      </c>
      <c r="U18" s="27">
        <v>4.0</v>
      </c>
      <c r="V18" s="27">
        <v>5.0</v>
      </c>
      <c r="W18" s="27">
        <v>6.0</v>
      </c>
      <c r="X18" s="27">
        <v>7.0</v>
      </c>
      <c r="Y18" s="2"/>
      <c r="Z18" s="2"/>
      <c r="AA18" s="2"/>
      <c r="AB18" s="2"/>
      <c r="AC18" s="2"/>
      <c r="AD18" s="2"/>
    </row>
    <row r="19" ht="29.25" customHeight="1">
      <c r="A19" s="23"/>
      <c r="B19" s="23"/>
      <c r="C19" s="33" t="s">
        <v>21</v>
      </c>
      <c r="D19" s="40" t="s">
        <v>22</v>
      </c>
      <c r="E19" s="35">
        <v>20.0</v>
      </c>
      <c r="F19" s="36">
        <v>0.0</v>
      </c>
      <c r="G19" s="36">
        <v>20.0</v>
      </c>
      <c r="H19" s="36">
        <v>20.0</v>
      </c>
      <c r="I19" s="36">
        <v>20.0</v>
      </c>
      <c r="J19" s="36">
        <v>20.0</v>
      </c>
      <c r="K19" s="37">
        <v>0.0</v>
      </c>
      <c r="L19" s="38">
        <v>0.0</v>
      </c>
      <c r="O19" s="14"/>
      <c r="P19" s="14"/>
      <c r="Q19" s="26" t="s">
        <v>18</v>
      </c>
      <c r="R19" s="27">
        <f t="shared" ref="R19:X19" si="2">sum(F15:F23)</f>
        <v>5</v>
      </c>
      <c r="S19" s="27">
        <f t="shared" si="2"/>
        <v>40</v>
      </c>
      <c r="T19" s="27">
        <f t="shared" si="2"/>
        <v>35</v>
      </c>
      <c r="U19" s="27">
        <f t="shared" si="2"/>
        <v>35</v>
      </c>
      <c r="V19" s="27">
        <f t="shared" si="2"/>
        <v>35</v>
      </c>
      <c r="W19" s="27">
        <f t="shared" si="2"/>
        <v>21</v>
      </c>
      <c r="X19" s="27">
        <f t="shared" si="2"/>
        <v>0</v>
      </c>
      <c r="Y19" s="2"/>
      <c r="Z19" s="2"/>
      <c r="AA19" s="2"/>
      <c r="AB19" s="2"/>
      <c r="AC19" s="2"/>
      <c r="AD19" s="2"/>
    </row>
    <row r="20" ht="30.0" customHeight="1">
      <c r="A20" s="23"/>
      <c r="B20" s="23"/>
      <c r="C20" s="33" t="s">
        <v>25</v>
      </c>
      <c r="D20" s="40" t="s">
        <v>26</v>
      </c>
      <c r="E20" s="35">
        <v>8.0</v>
      </c>
      <c r="F20" s="36">
        <v>0.0</v>
      </c>
      <c r="G20" s="36">
        <v>0.0</v>
      </c>
      <c r="H20" s="36">
        <v>0.0</v>
      </c>
      <c r="I20" s="36">
        <v>0.0</v>
      </c>
      <c r="J20" s="36">
        <v>0.0</v>
      </c>
      <c r="K20" s="36">
        <v>4.0</v>
      </c>
      <c r="L20" s="38">
        <v>0.0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ht="73.5" customHeight="1">
      <c r="A21" s="23"/>
      <c r="B21" s="23"/>
      <c r="C21" s="33" t="s">
        <v>23</v>
      </c>
      <c r="D21" s="34" t="s">
        <v>24</v>
      </c>
      <c r="E21" s="35">
        <v>8.0</v>
      </c>
      <c r="F21" s="36">
        <v>0.0</v>
      </c>
      <c r="G21" s="36">
        <v>0.0</v>
      </c>
      <c r="H21" s="36">
        <v>0.0</v>
      </c>
      <c r="I21" s="36">
        <v>0.0</v>
      </c>
      <c r="J21" s="36">
        <v>0.0</v>
      </c>
      <c r="K21" s="36">
        <v>2.0</v>
      </c>
      <c r="L21" s="38">
        <v>0.0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ht="61.5" customHeight="1">
      <c r="A22" s="23"/>
      <c r="B22" s="23"/>
      <c r="C22" s="33" t="s">
        <v>27</v>
      </c>
      <c r="D22" s="34" t="s">
        <v>28</v>
      </c>
      <c r="E22" s="35">
        <v>7.0</v>
      </c>
      <c r="F22" s="36">
        <v>0.0</v>
      </c>
      <c r="G22" s="36">
        <v>0.0</v>
      </c>
      <c r="H22" s="36">
        <v>0.0</v>
      </c>
      <c r="I22" s="36">
        <v>0.0</v>
      </c>
      <c r="J22" s="36">
        <v>0.0</v>
      </c>
      <c r="K22" s="36">
        <v>7.0</v>
      </c>
      <c r="L22" s="38">
        <v>0.0</v>
      </c>
      <c r="O22" s="4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ht="66.0" customHeight="1">
      <c r="A23" s="10"/>
      <c r="B23" s="10"/>
      <c r="C23" s="33" t="s">
        <v>29</v>
      </c>
      <c r="D23" s="34" t="s">
        <v>30</v>
      </c>
      <c r="E23" s="35">
        <v>4.0</v>
      </c>
      <c r="F23" s="36">
        <v>0.0</v>
      </c>
      <c r="G23" s="36">
        <v>0.0</v>
      </c>
      <c r="H23" s="36">
        <v>0.0</v>
      </c>
      <c r="I23" s="36">
        <v>0.0</v>
      </c>
      <c r="J23" s="36">
        <v>0.0</v>
      </c>
      <c r="K23" s="36">
        <v>4.0</v>
      </c>
      <c r="L23" s="38">
        <v>0.0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42"/>
      <c r="AA23" s="2"/>
      <c r="AB23" s="41"/>
      <c r="AC23" s="2"/>
      <c r="AD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42"/>
      <c r="AB24" s="2"/>
      <c r="AC24" s="2"/>
      <c r="AD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4.25" customHeight="1">
      <c r="A970" s="2"/>
      <c r="B970" s="2"/>
      <c r="C970" s="2"/>
      <c r="D970" s="43"/>
      <c r="E970" s="2"/>
      <c r="F970" s="2"/>
      <c r="G970" s="2"/>
      <c r="H970" s="2"/>
      <c r="I970" s="2"/>
      <c r="J970" s="2"/>
      <c r="K970" s="2"/>
      <c r="L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4.25" customHeight="1">
      <c r="A971" s="2"/>
      <c r="B971" s="2"/>
      <c r="C971" s="2"/>
      <c r="D971" s="43"/>
      <c r="E971" s="2"/>
      <c r="F971" s="2"/>
      <c r="G971" s="2"/>
      <c r="H971" s="2"/>
      <c r="I971" s="2"/>
      <c r="J971" s="2"/>
      <c r="K971" s="2"/>
      <c r="L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4.25" customHeight="1">
      <c r="A972" s="2"/>
      <c r="B972" s="2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4.25" customHeight="1">
      <c r="A973" s="2"/>
      <c r="B973" s="2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</sheetData>
  <mergeCells count="15">
    <mergeCell ref="E4:E5"/>
    <mergeCell ref="F4:L4"/>
    <mergeCell ref="P5:R5"/>
    <mergeCell ref="Y5:AD5"/>
    <mergeCell ref="A6:A14"/>
    <mergeCell ref="B6:B14"/>
    <mergeCell ref="A15:A23"/>
    <mergeCell ref="B15:B23"/>
    <mergeCell ref="M1:N973"/>
    <mergeCell ref="A2:L2"/>
    <mergeCell ref="A4:A5"/>
    <mergeCell ref="B4:B5"/>
    <mergeCell ref="C4:C5"/>
    <mergeCell ref="D4:D5"/>
    <mergeCell ref="A1:L1"/>
  </mergeCells>
  <printOptions/>
  <pageMargins bottom="0.75" footer="0.0" header="0.0" left="0.7" right="0.7" top="0.75"/>
  <pageSetup orientation="portrait"/>
  <drawing r:id="rId1"/>
</worksheet>
</file>